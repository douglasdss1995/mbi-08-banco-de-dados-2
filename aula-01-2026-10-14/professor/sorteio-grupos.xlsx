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Temp\"/>
    </mc:Choice>
  </mc:AlternateContent>
  <xr:revisionPtr revIDLastSave="0" documentId="8_{8C3A7B09-C70D-454A-B88E-9DD2167425FE}" xr6:coauthVersionLast="47" xr6:coauthVersionMax="47" xr10:uidLastSave="{00000000-0000-0000-0000-000000000000}"/>
  <bookViews>
    <workbookView xWindow="-120" yWindow="-120" windowWidth="38640" windowHeight="21120" activeTab="2" xr2:uid="{7FCF431C-5072-4EEB-B7AC-C35EABA655F8}"/>
  </bookViews>
  <sheets>
    <sheet name="Como usar" sheetId="1" r:id="rId1"/>
    <sheet name="Alunos" sheetId="2" r:id="rId2"/>
    <sheet name="Sorteio" sheetId="3" r:id="rId3"/>
    <sheet name="Tem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3" l="1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C7" i="3"/>
  <c r="C6" i="3"/>
  <c r="C5" i="3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  <c r="C11" i="4"/>
  <c r="C10" i="4"/>
  <c r="C9" i="4"/>
  <c r="C8" i="4"/>
  <c r="C7" i="4"/>
  <c r="C6" i="4"/>
  <c r="C5" i="4"/>
  <c r="C4" i="4"/>
  <c r="C3" i="4"/>
  <c r="C2" i="4"/>
  <c r="D6" i="4" l="1"/>
  <c r="D8" i="4"/>
  <c r="D9" i="4"/>
  <c r="D10" i="4"/>
  <c r="D11" i="4"/>
  <c r="D7" i="4"/>
  <c r="D5" i="4"/>
  <c r="D4" i="4"/>
  <c r="D2" i="4"/>
  <c r="D3" i="4"/>
</calcChain>
</file>

<file path=xl/sharedStrings.xml><?xml version="1.0" encoding="utf-8"?>
<sst xmlns="http://schemas.openxmlformats.org/spreadsheetml/2006/main" count="59" uniqueCount="55">
  <si>
    <t>Nº</t>
  </si>
  <si>
    <t>Tema</t>
  </si>
  <si>
    <t>Número sorteado</t>
  </si>
  <si>
    <t>Posição</t>
  </si>
  <si>
    <t>Biblioteca escolar</t>
  </si>
  <si>
    <t>Clínica médica</t>
  </si>
  <si>
    <t>Loja virtual</t>
  </si>
  <si>
    <t>Academia</t>
  </si>
  <si>
    <t>Delivery de comida</t>
  </si>
  <si>
    <t>Escola (notas e frequência)</t>
  </si>
  <si>
    <t>Locadora de veículos</t>
  </si>
  <si>
    <t>Sistema de chamados (helpdesk)</t>
  </si>
  <si>
    <t>Hotel ou pousada</t>
  </si>
  <si>
    <t>Cinema</t>
  </si>
  <si>
    <t>Os temas em amarelo podem ser editados (D-16: ajustar ao interesse da turma). Não altere as colunas C e D.</t>
  </si>
  <si>
    <t>Nome do aluno</t>
  </si>
  <si>
    <t>Grupo</t>
  </si>
  <si>
    <t>Ordem no grupo</t>
  </si>
  <si>
    <t>Chave</t>
  </si>
  <si>
    <t>Tema do grupo</t>
  </si>
  <si>
    <t>Escreva os nomes em A2:A41 (máx. 40). As colunas B a G são fórmulas.</t>
  </si>
  <si>
    <t>Sorteio de grupos e temas · Banco de Dados 2 · Turma MCI-05</t>
  </si>
  <si>
    <t>Número da turma (grupos)</t>
  </si>
  <si>
    <t>Número da turma (temas)</t>
  </si>
  <si>
    <t>Alunos presentes</t>
  </si>
  <si>
    <t>Grupos (de 3 ou 4 alunos)</t>
  </si>
  <si>
    <t>Conferência</t>
  </si>
  <si>
    <t>Peça a dois alunos que digitem um número em cada célula amarela. O mesmo número sempre dá o mesmo sorteio.</t>
  </si>
  <si>
    <t>Integrante 1</t>
  </si>
  <si>
    <t>Integrante 2</t>
  </si>
  <si>
    <t>Integrante 3</t>
  </si>
  <si>
    <t>Integrante 4</t>
  </si>
  <si>
    <t>Integrante 5</t>
  </si>
  <si>
    <t>Alunos</t>
  </si>
  <si>
    <t>Vagas (até 4)</t>
  </si>
  <si>
    <t>Quem chegar depois: escreva o nome sobre a célula de Integrante vazia de um grupo com vaga (coluna Vagas). Não digite na aba Alunos, porque isso refaz o sorteio.</t>
  </si>
  <si>
    <t>Sorteio de grupos e temas · Banco de Dados 2 (aula 1)</t>
  </si>
  <si>
    <t>ANTES DA AULA</t>
  </si>
  <si>
    <t>1. Confira os 10 temas na aba Temas (células amarelas). Ajuste se o professor já decidiu trocar algum (D-16).</t>
  </si>
  <si>
    <t>2. Salve uma cópia com o nome «sorteio-grupos-preenchido.xlsx» (esse nome é ignorado pelo git, porque vai ter nomes de alunos).</t>
  </si>
  <si>
    <t>NA AULA (depois da 1ª chamada)</t>
  </si>
  <si>
    <t>1. Digite os nomes dos alunos presentes na aba Alunos, coluna A (até 40). Não precisa ordem.</t>
  </si>
  <si>
    <t>2. Na aba Sorteio, peça a dois alunos que digitem um número cada um nas células amarelas (grupos e temas).</t>
  </si>
  <si>
    <t>3. O sorteio aparece na hora na aba Sorteio. Projete essa aba. Os grupos têm 3 ou 4 alunos, divididos de forma equilibrada.</t>
  </si>
  <si>
    <t>4. Cada tema vai para um grupo. Com menos de 10 grupos, os temas são sorteados entre os 10.</t>
  </si>
  <si>
    <t>5. Anote o número do grupo e o tema de cada aluno na lista da aba Alunos (colunas D e G).</t>
  </si>
  <si>
    <t>IMPORTANTE</t>
  </si>
  <si>
    <t>- O mesmo número sempre dá o mesmo resultado. Mudar o número, ou digitar um nome novo na aba Alunos, refaz o sorteio.</t>
  </si>
  <si>
    <t>- Depois de projetar, NÃO altere mais a lista nem os números. Para quem chegar depois, escreva o nome sobre uma célula</t>
  </si>
  <si>
    <t xml:space="preserve">  de Integrante vazia de um grupo com vaga, na aba Sorteio.</t>
  </si>
  <si>
    <t>- Se um aluno desistir, o grupo segue com um a menos (decisão do curso).</t>
  </si>
  <si>
    <t>- Máximo de 40 alunos (10 grupos de 4).</t>
  </si>
  <si>
    <t>DEPOIS DA AULA</t>
  </si>
  <si>
    <t>- Guarde o arquivo preenchido só localmente (nomes de alunos não vão para o repositório remoto).</t>
  </si>
  <si>
    <t>- Use o número do grupo e o tema para nomear os repositórios: bd2-grupo-NN-tema.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</si>
</sst>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,00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i/>
      <sz val="12"/>
      <color theme="1"/>
      <name val="Calibri"/>
      <family val="2"/>
    </font>
    <font>
      <b/>
      <sz val="20"/>
      <color rgb="FF004855"/>
      <name val="Calibri"/>
      <family val="2"/>
    </font>
    <font>
      <b/>
      <sz val="12"/>
      <color theme="1"/>
      <name val="Calibri"/>
      <family val="2"/>
    </font>
    <font>
      <b/>
      <sz val="12"/>
      <color rgb="FF004855"/>
      <name val="Calibri"/>
      <family val="2"/>
    </font>
    <font>
      <b/>
      <sz val="18"/>
      <color rgb="FF004855"/>
      <name val="Calibri"/>
      <family val="2"/>
    </font>
    <font>
      <b/>
      <sz val="13"/>
      <color rgb="FF00485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855"/>
        <bgColor indexed="64"/>
      </patternFill>
    </fill>
    <fill>
      <patternFill patternType="solid">
        <fgColor rgb="FFFFF4B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1" fillId="3" borderId="0" xfId="0" applyFont="1" applyFill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">
    <dxf>
      <fill>
        <patternFill>
          <bgColor rgb="FFFFF4B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A0BF-70EF-4E03-A450-875A06816492}">
  <dimension ref="A1:A23"/>
  <sheetViews>
    <sheetView workbookViewId="0"/>
  </sheetViews>
  <sheetFormatPr defaultRowHeight="15.75" x14ac:dyDescent="0.25"/>
  <cols>
    <col min="1" max="1" width="135.7109375" style="1" customWidth="1"/>
    <col min="2" max="16384" width="9.140625" style="1"/>
  </cols>
  <sheetData>
    <row r="1" spans="1:1" ht="23.25" x14ac:dyDescent="0.35">
      <c r="A1" s="16" t="s">
        <v>36</v>
      </c>
    </row>
    <row r="3" spans="1:1" ht="17.25" x14ac:dyDescent="0.3">
      <c r="A3" s="17" t="s">
        <v>37</v>
      </c>
    </row>
    <row r="4" spans="1:1" x14ac:dyDescent="0.25">
      <c r="A4" s="1" t="s">
        <v>38</v>
      </c>
    </row>
    <row r="5" spans="1:1" x14ac:dyDescent="0.25">
      <c r="A5" s="1" t="s">
        <v>39</v>
      </c>
    </row>
    <row r="7" spans="1:1" ht="17.25" x14ac:dyDescent="0.3">
      <c r="A7" s="17" t="s">
        <v>40</v>
      </c>
    </row>
    <row r="8" spans="1:1" x14ac:dyDescent="0.25">
      <c r="A8" s="1" t="s">
        <v>41</v>
      </c>
    </row>
    <row r="9" spans="1:1" x14ac:dyDescent="0.25">
      <c r="A9" s="1" t="s">
        <v>42</v>
      </c>
    </row>
    <row r="10" spans="1:1" x14ac:dyDescent="0.25">
      <c r="A10" s="1" t="s">
        <v>43</v>
      </c>
    </row>
    <row r="11" spans="1:1" x14ac:dyDescent="0.25">
      <c r="A11" s="1" t="s">
        <v>44</v>
      </c>
    </row>
    <row r="12" spans="1:1" x14ac:dyDescent="0.25">
      <c r="A12" s="1" t="s">
        <v>45</v>
      </c>
    </row>
    <row r="14" spans="1:1" ht="17.25" x14ac:dyDescent="0.3">
      <c r="A14" s="17" t="s">
        <v>46</v>
      </c>
    </row>
    <row r="15" spans="1:1" x14ac:dyDescent="0.25">
      <c r="A15" s="1" t="s">
        <v>47</v>
      </c>
    </row>
    <row r="16" spans="1:1" x14ac:dyDescent="0.25">
      <c r="A16" s="1" t="s">
        <v>48</v>
      </c>
    </row>
    <row r="17" spans="1:1" x14ac:dyDescent="0.25">
      <c r="A17" s="1" t="s">
        <v>49</v>
      </c>
    </row>
    <row r="18" spans="1:1" x14ac:dyDescent="0.25">
      <c r="A18" s="1" t="s">
        <v>50</v>
      </c>
    </row>
    <row r="19" spans="1:1" x14ac:dyDescent="0.25">
      <c r="A19" s="1" t="s">
        <v>51</v>
      </c>
    </row>
    <row r="21" spans="1:1" ht="17.25" x14ac:dyDescent="0.3">
      <c r="A21" s="17" t="s">
        <v>52</v>
      </c>
    </row>
    <row r="22" spans="1:1" x14ac:dyDescent="0.25">
      <c r="A22" s="1" t="s">
        <v>53</v>
      </c>
    </row>
    <row r="23" spans="1:1" x14ac:dyDescent="0.25">
      <c r="A23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A6F9-AA77-4030-A001-F4E7E85DCBA8}">
  <dimension ref="A1:I41"/>
  <sheetViews>
    <sheetView workbookViewId="0"/>
  </sheetViews>
  <sheetFormatPr defaultRowHeight="15.75" x14ac:dyDescent="0.25"/>
  <cols>
    <col min="1" max="1" width="34.7109375" style="1" customWidth="1"/>
    <col min="2" max="2" width="17.7109375" style="1" customWidth="1"/>
    <col min="3" max="3" width="10.7109375" style="1" customWidth="1"/>
    <col min="4" max="4" width="9.7109375" style="1" customWidth="1"/>
    <col min="5" max="5" width="15.7109375" style="1" customWidth="1"/>
    <col min="6" max="6" width="8.7109375" style="1" customWidth="1"/>
    <col min="7" max="7" width="34.7109375" style="1" customWidth="1"/>
    <col min="8" max="16384" width="9.140625" style="1"/>
  </cols>
  <sheetData>
    <row r="1" spans="1:9" x14ac:dyDescent="0.25">
      <c r="A1" s="2" t="s">
        <v>15</v>
      </c>
      <c r="B1" s="2" t="s">
        <v>2</v>
      </c>
      <c r="C1" s="2" t="s">
        <v>3</v>
      </c>
      <c r="D1" s="2" t="s">
        <v>16</v>
      </c>
      <c r="E1" s="2" t="s">
        <v>17</v>
      </c>
      <c r="F1" s="2" t="s">
        <v>18</v>
      </c>
      <c r="G1" s="2" t="s">
        <v>19</v>
      </c>
      <c r="I1" s="5" t="s">
        <v>20</v>
      </c>
    </row>
    <row r="2" spans="1:9" x14ac:dyDescent="0.25">
      <c r="A2" s="3"/>
      <c r="B2" s="4" t="str">
        <f>IF(A2="","",MOD(ABS(SIN((ROW()+Sorteio!$C$3)*12.9898+Sorteio!$C$3*78.233))*43758.5453,1))</f>
        <v/>
      </c>
      <c r="C2" s="6" t="str">
        <f>IF(A2="","",RANK(B2,$B$2:$B$41,1)+COUNTIF($B$2:B2,B2)-1)</f>
        <v/>
      </c>
      <c r="D2" s="6" t="str">
        <f>IF(A2="","",MOD(C2-1,Sorteio!$C$6)+1)</f>
        <v/>
      </c>
      <c r="E2" s="6" t="str">
        <f>IF(A2="","",COUNTIF($D$2:D2,D2))</f>
        <v/>
      </c>
      <c r="F2" s="6" t="str">
        <f>IF(A2="","",D2*100+E2)</f>
        <v/>
      </c>
      <c r="G2" s="1" t="str">
        <f>IF(A2="","",INDEX(Sorteio!$B$11:$B$20,D2))</f>
        <v/>
      </c>
    </row>
    <row r="3" spans="1:9" x14ac:dyDescent="0.25">
      <c r="A3" s="3"/>
      <c r="B3" s="4" t="str">
        <f>IF(A3="","",MOD(ABS(SIN((ROW()+Sorteio!$C$3)*12.9898+Sorteio!$C$3*78.233))*43758.5453,1))</f>
        <v/>
      </c>
      <c r="C3" s="6" t="str">
        <f>IF(A3="","",RANK(B3,$B$2:$B$41,1)+COUNTIF($B$2:B3,B3)-1)</f>
        <v/>
      </c>
      <c r="D3" s="6" t="str">
        <f>IF(A3="","",MOD(C3-1,Sorteio!$C$6)+1)</f>
        <v/>
      </c>
      <c r="E3" s="6" t="str">
        <f>IF(A3="","",COUNTIF($D$2:D3,D3))</f>
        <v/>
      </c>
      <c r="F3" s="6" t="str">
        <f>IF(A3="","",D3*100+E3)</f>
        <v/>
      </c>
      <c r="G3" s="1" t="str">
        <f>IF(A3="","",INDEX(Sorteio!$B$11:$B$20,D3))</f>
        <v/>
      </c>
    </row>
    <row r="4" spans="1:9" x14ac:dyDescent="0.25">
      <c r="A4" s="3"/>
      <c r="B4" s="4" t="str">
        <f>IF(A4="","",MOD(ABS(SIN((ROW()+Sorteio!$C$3)*12.9898+Sorteio!$C$3*78.233))*43758.5453,1))</f>
        <v/>
      </c>
      <c r="C4" s="6" t="str">
        <f>IF(A4="","",RANK(B4,$B$2:$B$41,1)+COUNTIF($B$2:B4,B4)-1)</f>
        <v/>
      </c>
      <c r="D4" s="6" t="str">
        <f>IF(A4="","",MOD(C4-1,Sorteio!$C$6)+1)</f>
        <v/>
      </c>
      <c r="E4" s="6" t="str">
        <f>IF(A4="","",COUNTIF($D$2:D4,D4))</f>
        <v/>
      </c>
      <c r="F4" s="6" t="str">
        <f>IF(A4="","",D4*100+E4)</f>
        <v/>
      </c>
      <c r="G4" s="1" t="str">
        <f>IF(A4="","",INDEX(Sorteio!$B$11:$B$20,D4))</f>
        <v/>
      </c>
    </row>
    <row r="5" spans="1:9" x14ac:dyDescent="0.25">
      <c r="A5" s="3"/>
      <c r="B5" s="4" t="str">
        <f>IF(A5="","",MOD(ABS(SIN((ROW()+Sorteio!$C$3)*12.9898+Sorteio!$C$3*78.233))*43758.5453,1))</f>
        <v/>
      </c>
      <c r="C5" s="6" t="str">
        <f>IF(A5="","",RANK(B5,$B$2:$B$41,1)+COUNTIF($B$2:B5,B5)-1)</f>
        <v/>
      </c>
      <c r="D5" s="6" t="str">
        <f>IF(A5="","",MOD(C5-1,Sorteio!$C$6)+1)</f>
        <v/>
      </c>
      <c r="E5" s="6" t="str">
        <f>IF(A5="","",COUNTIF($D$2:D5,D5))</f>
        <v/>
      </c>
      <c r="F5" s="6" t="str">
        <f>IF(A5="","",D5*100+E5)</f>
        <v/>
      </c>
      <c r="G5" s="1" t="str">
        <f>IF(A5="","",INDEX(Sorteio!$B$11:$B$20,D5))</f>
        <v/>
      </c>
    </row>
    <row r="6" spans="1:9" x14ac:dyDescent="0.25">
      <c r="A6" s="3"/>
      <c r="B6" s="4" t="str">
        <f>IF(A6="","",MOD(ABS(SIN((ROW()+Sorteio!$C$3)*12.9898+Sorteio!$C$3*78.233))*43758.5453,1))</f>
        <v/>
      </c>
      <c r="C6" s="6" t="str">
        <f>IF(A6="","",RANK(B6,$B$2:$B$41,1)+COUNTIF($B$2:B6,B6)-1)</f>
        <v/>
      </c>
      <c r="D6" s="6" t="str">
        <f>IF(A6="","",MOD(C6-1,Sorteio!$C$6)+1)</f>
        <v/>
      </c>
      <c r="E6" s="6" t="str">
        <f>IF(A6="","",COUNTIF($D$2:D6,D6))</f>
        <v/>
      </c>
      <c r="F6" s="6" t="str">
        <f>IF(A6="","",D6*100+E6)</f>
        <v/>
      </c>
      <c r="G6" s="1" t="str">
        <f>IF(A6="","",INDEX(Sorteio!$B$11:$B$20,D6))</f>
        <v/>
      </c>
    </row>
    <row r="7" spans="1:9" x14ac:dyDescent="0.25">
      <c r="A7" s="3"/>
      <c r="B7" s="4" t="str">
        <f>IF(A7="","",MOD(ABS(SIN((ROW()+Sorteio!$C$3)*12.9898+Sorteio!$C$3*78.233))*43758.5453,1))</f>
        <v/>
      </c>
      <c r="C7" s="6" t="str">
        <f>IF(A7="","",RANK(B7,$B$2:$B$41,1)+COUNTIF($B$2:B7,B7)-1)</f>
        <v/>
      </c>
      <c r="D7" s="6" t="str">
        <f>IF(A7="","",MOD(C7-1,Sorteio!$C$6)+1)</f>
        <v/>
      </c>
      <c r="E7" s="6" t="str">
        <f>IF(A7="","",COUNTIF($D$2:D7,D7))</f>
        <v/>
      </c>
      <c r="F7" s="6" t="str">
        <f>IF(A7="","",D7*100+E7)</f>
        <v/>
      </c>
      <c r="G7" s="1" t="str">
        <f>IF(A7="","",INDEX(Sorteio!$B$11:$B$20,D7))</f>
        <v/>
      </c>
    </row>
    <row r="8" spans="1:9" x14ac:dyDescent="0.25">
      <c r="A8" s="3"/>
      <c r="B8" s="4" t="str">
        <f>IF(A8="","",MOD(ABS(SIN((ROW()+Sorteio!$C$3)*12.9898+Sorteio!$C$3*78.233))*43758.5453,1))</f>
        <v/>
      </c>
      <c r="C8" s="6" t="str">
        <f>IF(A8="","",RANK(B8,$B$2:$B$41,1)+COUNTIF($B$2:B8,B8)-1)</f>
        <v/>
      </c>
      <c r="D8" s="6" t="str">
        <f>IF(A8="","",MOD(C8-1,Sorteio!$C$6)+1)</f>
        <v/>
      </c>
      <c r="E8" s="6" t="str">
        <f>IF(A8="","",COUNTIF($D$2:D8,D8))</f>
        <v/>
      </c>
      <c r="F8" s="6" t="str">
        <f>IF(A8="","",D8*100+E8)</f>
        <v/>
      </c>
      <c r="G8" s="1" t="str">
        <f>IF(A8="","",INDEX(Sorteio!$B$11:$B$20,D8))</f>
        <v/>
      </c>
    </row>
    <row r="9" spans="1:9" x14ac:dyDescent="0.25">
      <c r="A9" s="3"/>
      <c r="B9" s="4" t="str">
        <f>IF(A9="","",MOD(ABS(SIN((ROW()+Sorteio!$C$3)*12.9898+Sorteio!$C$3*78.233))*43758.5453,1))</f>
        <v/>
      </c>
      <c r="C9" s="6" t="str">
        <f>IF(A9="","",RANK(B9,$B$2:$B$41,1)+COUNTIF($B$2:B9,B9)-1)</f>
        <v/>
      </c>
      <c r="D9" s="6" t="str">
        <f>IF(A9="","",MOD(C9-1,Sorteio!$C$6)+1)</f>
        <v/>
      </c>
      <c r="E9" s="6" t="str">
        <f>IF(A9="","",COUNTIF($D$2:D9,D9))</f>
        <v/>
      </c>
      <c r="F9" s="6" t="str">
        <f>IF(A9="","",D9*100+E9)</f>
        <v/>
      </c>
      <c r="G9" s="1" t="str">
        <f>IF(A9="","",INDEX(Sorteio!$B$11:$B$20,D9))</f>
        <v/>
      </c>
    </row>
    <row r="10" spans="1:9" x14ac:dyDescent="0.25">
      <c r="A10" s="3"/>
      <c r="B10" s="4" t="str">
        <f>IF(A10="","",MOD(ABS(SIN((ROW()+Sorteio!$C$3)*12.9898+Sorteio!$C$3*78.233))*43758.5453,1))</f>
        <v/>
      </c>
      <c r="C10" s="6" t="str">
        <f>IF(A10="","",RANK(B10,$B$2:$B$41,1)+COUNTIF($B$2:B10,B10)-1)</f>
        <v/>
      </c>
      <c r="D10" s="6" t="str">
        <f>IF(A10="","",MOD(C10-1,Sorteio!$C$6)+1)</f>
        <v/>
      </c>
      <c r="E10" s="6" t="str">
        <f>IF(A10="","",COUNTIF($D$2:D10,D10))</f>
        <v/>
      </c>
      <c r="F10" s="6" t="str">
        <f>IF(A10="","",D10*100+E10)</f>
        <v/>
      </c>
      <c r="G10" s="1" t="str">
        <f>IF(A10="","",INDEX(Sorteio!$B$11:$B$20,D10))</f>
        <v/>
      </c>
    </row>
    <row r="11" spans="1:9" x14ac:dyDescent="0.25">
      <c r="A11" s="3"/>
      <c r="B11" s="4" t="str">
        <f>IF(A11="","",MOD(ABS(SIN((ROW()+Sorteio!$C$3)*12.9898+Sorteio!$C$3*78.233))*43758.5453,1))</f>
        <v/>
      </c>
      <c r="C11" s="6" t="str">
        <f>IF(A11="","",RANK(B11,$B$2:$B$41,1)+COUNTIF($B$2:B11,B11)-1)</f>
        <v/>
      </c>
      <c r="D11" s="6" t="str">
        <f>IF(A11="","",MOD(C11-1,Sorteio!$C$6)+1)</f>
        <v/>
      </c>
      <c r="E11" s="6" t="str">
        <f>IF(A11="","",COUNTIF($D$2:D11,D11))</f>
        <v/>
      </c>
      <c r="F11" s="6" t="str">
        <f>IF(A11="","",D11*100+E11)</f>
        <v/>
      </c>
      <c r="G11" s="1" t="str">
        <f>IF(A11="","",INDEX(Sorteio!$B$11:$B$20,D11))</f>
        <v/>
      </c>
    </row>
    <row r="12" spans="1:9" x14ac:dyDescent="0.25">
      <c r="A12" s="3"/>
      <c r="B12" s="4" t="str">
        <f>IF(A12="","",MOD(ABS(SIN((ROW()+Sorteio!$C$3)*12.9898+Sorteio!$C$3*78.233))*43758.5453,1))</f>
        <v/>
      </c>
      <c r="C12" s="6" t="str">
        <f>IF(A12="","",RANK(B12,$B$2:$B$41,1)+COUNTIF($B$2:B12,B12)-1)</f>
        <v/>
      </c>
      <c r="D12" s="6" t="str">
        <f>IF(A12="","",MOD(C12-1,Sorteio!$C$6)+1)</f>
        <v/>
      </c>
      <c r="E12" s="6" t="str">
        <f>IF(A12="","",COUNTIF($D$2:D12,D12))</f>
        <v/>
      </c>
      <c r="F12" s="6" t="str">
        <f>IF(A12="","",D12*100+E12)</f>
        <v/>
      </c>
      <c r="G12" s="1" t="str">
        <f>IF(A12="","",INDEX(Sorteio!$B$11:$B$20,D12))</f>
        <v/>
      </c>
    </row>
    <row r="13" spans="1:9" x14ac:dyDescent="0.25">
      <c r="A13" s="3"/>
      <c r="B13" s="4" t="str">
        <f>IF(A13="","",MOD(ABS(SIN((ROW()+Sorteio!$C$3)*12.9898+Sorteio!$C$3*78.233))*43758.5453,1))</f>
        <v/>
      </c>
      <c r="C13" s="6" t="str">
        <f>IF(A13="","",RANK(B13,$B$2:$B$41,1)+COUNTIF($B$2:B13,B13)-1)</f>
        <v/>
      </c>
      <c r="D13" s="6" t="str">
        <f>IF(A13="","",MOD(C13-1,Sorteio!$C$6)+1)</f>
        <v/>
      </c>
      <c r="E13" s="6" t="str">
        <f>IF(A13="","",COUNTIF($D$2:D13,D13))</f>
        <v/>
      </c>
      <c r="F13" s="6" t="str">
        <f>IF(A13="","",D13*100+E13)</f>
        <v/>
      </c>
      <c r="G13" s="1" t="str">
        <f>IF(A13="","",INDEX(Sorteio!$B$11:$B$20,D13))</f>
        <v/>
      </c>
    </row>
    <row r="14" spans="1:9" x14ac:dyDescent="0.25">
      <c r="A14" s="3"/>
      <c r="B14" s="4" t="str">
        <f>IF(A14="","",MOD(ABS(SIN((ROW()+Sorteio!$C$3)*12.9898+Sorteio!$C$3*78.233))*43758.5453,1))</f>
        <v/>
      </c>
      <c r="C14" s="6" t="str">
        <f>IF(A14="","",RANK(B14,$B$2:$B$41,1)+COUNTIF($B$2:B14,B14)-1)</f>
        <v/>
      </c>
      <c r="D14" s="6" t="str">
        <f>IF(A14="","",MOD(C14-1,Sorteio!$C$6)+1)</f>
        <v/>
      </c>
      <c r="E14" s="6" t="str">
        <f>IF(A14="","",COUNTIF($D$2:D14,D14))</f>
        <v/>
      </c>
      <c r="F14" s="6" t="str">
        <f>IF(A14="","",D14*100+E14)</f>
        <v/>
      </c>
      <c r="G14" s="1" t="str">
        <f>IF(A14="","",INDEX(Sorteio!$B$11:$B$20,D14))</f>
        <v/>
      </c>
    </row>
    <row r="15" spans="1:9" x14ac:dyDescent="0.25">
      <c r="A15" s="3"/>
      <c r="B15" s="4" t="str">
        <f>IF(A15="","",MOD(ABS(SIN((ROW()+Sorteio!$C$3)*12.9898+Sorteio!$C$3*78.233))*43758.5453,1))</f>
        <v/>
      </c>
      <c r="C15" s="6" t="str">
        <f>IF(A15="","",RANK(B15,$B$2:$B$41,1)+COUNTIF($B$2:B15,B15)-1)</f>
        <v/>
      </c>
      <c r="D15" s="6" t="str">
        <f>IF(A15="","",MOD(C15-1,Sorteio!$C$6)+1)</f>
        <v/>
      </c>
      <c r="E15" s="6" t="str">
        <f>IF(A15="","",COUNTIF($D$2:D15,D15))</f>
        <v/>
      </c>
      <c r="F15" s="6" t="str">
        <f>IF(A15="","",D15*100+E15)</f>
        <v/>
      </c>
      <c r="G15" s="1" t="str">
        <f>IF(A15="","",INDEX(Sorteio!$B$11:$B$20,D15))</f>
        <v/>
      </c>
    </row>
    <row r="16" spans="1:9" x14ac:dyDescent="0.25">
      <c r="A16" s="3"/>
      <c r="B16" s="4" t="str">
        <f>IF(A16="","",MOD(ABS(SIN((ROW()+Sorteio!$C$3)*12.9898+Sorteio!$C$3*78.233))*43758.5453,1))</f>
        <v/>
      </c>
      <c r="C16" s="6" t="str">
        <f>IF(A16="","",RANK(B16,$B$2:$B$41,1)+COUNTIF($B$2:B16,B16)-1)</f>
        <v/>
      </c>
      <c r="D16" s="6" t="str">
        <f>IF(A16="","",MOD(C16-1,Sorteio!$C$6)+1)</f>
        <v/>
      </c>
      <c r="E16" s="6" t="str">
        <f>IF(A16="","",COUNTIF($D$2:D16,D16))</f>
        <v/>
      </c>
      <c r="F16" s="6" t="str">
        <f>IF(A16="","",D16*100+E16)</f>
        <v/>
      </c>
      <c r="G16" s="1" t="str">
        <f>IF(A16="","",INDEX(Sorteio!$B$11:$B$20,D16))</f>
        <v/>
      </c>
    </row>
    <row r="17" spans="1:7" x14ac:dyDescent="0.25">
      <c r="A17" s="3"/>
      <c r="B17" s="4" t="str">
        <f>IF(A17="","",MOD(ABS(SIN((ROW()+Sorteio!$C$3)*12.9898+Sorteio!$C$3*78.233))*43758.5453,1))</f>
        <v/>
      </c>
      <c r="C17" s="6" t="str">
        <f>IF(A17="","",RANK(B17,$B$2:$B$41,1)+COUNTIF($B$2:B17,B17)-1)</f>
        <v/>
      </c>
      <c r="D17" s="6" t="str">
        <f>IF(A17="","",MOD(C17-1,Sorteio!$C$6)+1)</f>
        <v/>
      </c>
      <c r="E17" s="6" t="str">
        <f>IF(A17="","",COUNTIF($D$2:D17,D17))</f>
        <v/>
      </c>
      <c r="F17" s="6" t="str">
        <f>IF(A17="","",D17*100+E17)</f>
        <v/>
      </c>
      <c r="G17" s="1" t="str">
        <f>IF(A17="","",INDEX(Sorteio!$B$11:$B$20,D17))</f>
        <v/>
      </c>
    </row>
    <row r="18" spans="1:7" x14ac:dyDescent="0.25">
      <c r="A18" s="3"/>
      <c r="B18" s="4" t="str">
        <f>IF(A18="","",MOD(ABS(SIN((ROW()+Sorteio!$C$3)*12.9898+Sorteio!$C$3*78.233))*43758.5453,1))</f>
        <v/>
      </c>
      <c r="C18" s="6" t="str">
        <f>IF(A18="","",RANK(B18,$B$2:$B$41,1)+COUNTIF($B$2:B18,B18)-1)</f>
        <v/>
      </c>
      <c r="D18" s="6" t="str">
        <f>IF(A18="","",MOD(C18-1,Sorteio!$C$6)+1)</f>
        <v/>
      </c>
      <c r="E18" s="6" t="str">
        <f>IF(A18="","",COUNTIF($D$2:D18,D18))</f>
        <v/>
      </c>
      <c r="F18" s="6" t="str">
        <f>IF(A18="","",D18*100+E18)</f>
        <v/>
      </c>
      <c r="G18" s="1" t="str">
        <f>IF(A18="","",INDEX(Sorteio!$B$11:$B$20,D18))</f>
        <v/>
      </c>
    </row>
    <row r="19" spans="1:7" x14ac:dyDescent="0.25">
      <c r="A19" s="3"/>
      <c r="B19" s="4" t="str">
        <f>IF(A19="","",MOD(ABS(SIN((ROW()+Sorteio!$C$3)*12.9898+Sorteio!$C$3*78.233))*43758.5453,1))</f>
        <v/>
      </c>
      <c r="C19" s="6" t="str">
        <f>IF(A19="","",RANK(B19,$B$2:$B$41,1)+COUNTIF($B$2:B19,B19)-1)</f>
        <v/>
      </c>
      <c r="D19" s="6" t="str">
        <f>IF(A19="","",MOD(C19-1,Sorteio!$C$6)+1)</f>
        <v/>
      </c>
      <c r="E19" s="6" t="str">
        <f>IF(A19="","",COUNTIF($D$2:D19,D19))</f>
        <v/>
      </c>
      <c r="F19" s="6" t="str">
        <f>IF(A19="","",D19*100+E19)</f>
        <v/>
      </c>
      <c r="G19" s="1" t="str">
        <f>IF(A19="","",INDEX(Sorteio!$B$11:$B$20,D19))</f>
        <v/>
      </c>
    </row>
    <row r="20" spans="1:7" x14ac:dyDescent="0.25">
      <c r="A20" s="3"/>
      <c r="B20" s="4" t="str">
        <f>IF(A20="","",MOD(ABS(SIN((ROW()+Sorteio!$C$3)*12.9898+Sorteio!$C$3*78.233))*43758.5453,1))</f>
        <v/>
      </c>
      <c r="C20" s="6" t="str">
        <f>IF(A20="","",RANK(B20,$B$2:$B$41,1)+COUNTIF($B$2:B20,B20)-1)</f>
        <v/>
      </c>
      <c r="D20" s="6" t="str">
        <f>IF(A20="","",MOD(C20-1,Sorteio!$C$6)+1)</f>
        <v/>
      </c>
      <c r="E20" s="6" t="str">
        <f>IF(A20="","",COUNTIF($D$2:D20,D20))</f>
        <v/>
      </c>
      <c r="F20" s="6" t="str">
        <f>IF(A20="","",D20*100+E20)</f>
        <v/>
      </c>
      <c r="G20" s="1" t="str">
        <f>IF(A20="","",INDEX(Sorteio!$B$11:$B$20,D20))</f>
        <v/>
      </c>
    </row>
    <row r="21" spans="1:7" x14ac:dyDescent="0.25">
      <c r="A21" s="3"/>
      <c r="B21" s="4" t="str">
        <f>IF(A21="","",MOD(ABS(SIN((ROW()+Sorteio!$C$3)*12.9898+Sorteio!$C$3*78.233))*43758.5453,1))</f>
        <v/>
      </c>
      <c r="C21" s="6" t="str">
        <f>IF(A21="","",RANK(B21,$B$2:$B$41,1)+COUNTIF($B$2:B21,B21)-1)</f>
        <v/>
      </c>
      <c r="D21" s="6" t="str">
        <f>IF(A21="","",MOD(C21-1,Sorteio!$C$6)+1)</f>
        <v/>
      </c>
      <c r="E21" s="6" t="str">
        <f>IF(A21="","",COUNTIF($D$2:D21,D21))</f>
        <v/>
      </c>
      <c r="F21" s="6" t="str">
        <f>IF(A21="","",D21*100+E21)</f>
        <v/>
      </c>
      <c r="G21" s="1" t="str">
        <f>IF(A21="","",INDEX(Sorteio!$B$11:$B$20,D21))</f>
        <v/>
      </c>
    </row>
    <row r="22" spans="1:7" x14ac:dyDescent="0.25">
      <c r="A22" s="3"/>
      <c r="B22" s="4" t="str">
        <f>IF(A22="","",MOD(ABS(SIN((ROW()+Sorteio!$C$3)*12.9898+Sorteio!$C$3*78.233))*43758.5453,1))</f>
        <v/>
      </c>
      <c r="C22" s="6" t="str">
        <f>IF(A22="","",RANK(B22,$B$2:$B$41,1)+COUNTIF($B$2:B22,B22)-1)</f>
        <v/>
      </c>
      <c r="D22" s="6" t="str">
        <f>IF(A22="","",MOD(C22-1,Sorteio!$C$6)+1)</f>
        <v/>
      </c>
      <c r="E22" s="6" t="str">
        <f>IF(A22="","",COUNTIF($D$2:D22,D22))</f>
        <v/>
      </c>
      <c r="F22" s="6" t="str">
        <f>IF(A22="","",D22*100+E22)</f>
        <v/>
      </c>
      <c r="G22" s="1" t="str">
        <f>IF(A22="","",INDEX(Sorteio!$B$11:$B$20,D22))</f>
        <v/>
      </c>
    </row>
    <row r="23" spans="1:7" x14ac:dyDescent="0.25">
      <c r="A23" s="3"/>
      <c r="B23" s="4" t="str">
        <f>IF(A23="","",MOD(ABS(SIN((ROW()+Sorteio!$C$3)*12.9898+Sorteio!$C$3*78.233))*43758.5453,1))</f>
        <v/>
      </c>
      <c r="C23" s="6" t="str">
        <f>IF(A23="","",RANK(B23,$B$2:$B$41,1)+COUNTIF($B$2:B23,B23)-1)</f>
        <v/>
      </c>
      <c r="D23" s="6" t="str">
        <f>IF(A23="","",MOD(C23-1,Sorteio!$C$6)+1)</f>
        <v/>
      </c>
      <c r="E23" s="6" t="str">
        <f>IF(A23="","",COUNTIF($D$2:D23,D23))</f>
        <v/>
      </c>
      <c r="F23" s="6" t="str">
        <f>IF(A23="","",D23*100+E23)</f>
        <v/>
      </c>
      <c r="G23" s="1" t="str">
        <f>IF(A23="","",INDEX(Sorteio!$B$11:$B$20,D23))</f>
        <v/>
      </c>
    </row>
    <row r="24" spans="1:7" x14ac:dyDescent="0.25">
      <c r="A24" s="3"/>
      <c r="B24" s="4" t="str">
        <f>IF(A24="","",MOD(ABS(SIN((ROW()+Sorteio!$C$3)*12.9898+Sorteio!$C$3*78.233))*43758.5453,1))</f>
        <v/>
      </c>
      <c r="C24" s="6" t="str">
        <f>IF(A24="","",RANK(B24,$B$2:$B$41,1)+COUNTIF($B$2:B24,B24)-1)</f>
        <v/>
      </c>
      <c r="D24" s="6" t="str">
        <f>IF(A24="","",MOD(C24-1,Sorteio!$C$6)+1)</f>
        <v/>
      </c>
      <c r="E24" s="6" t="str">
        <f>IF(A24="","",COUNTIF($D$2:D24,D24))</f>
        <v/>
      </c>
      <c r="F24" s="6" t="str">
        <f>IF(A24="","",D24*100+E24)</f>
        <v/>
      </c>
      <c r="G24" s="1" t="str">
        <f>IF(A24="","",INDEX(Sorteio!$B$11:$B$20,D24))</f>
        <v/>
      </c>
    </row>
    <row r="25" spans="1:7" x14ac:dyDescent="0.25">
      <c r="A25" s="3"/>
      <c r="B25" s="4" t="str">
        <f>IF(A25="","",MOD(ABS(SIN((ROW()+Sorteio!$C$3)*12.9898+Sorteio!$C$3*78.233))*43758.5453,1))</f>
        <v/>
      </c>
      <c r="C25" s="6" t="str">
        <f>IF(A25="","",RANK(B25,$B$2:$B$41,1)+COUNTIF($B$2:B25,B25)-1)</f>
        <v/>
      </c>
      <c r="D25" s="6" t="str">
        <f>IF(A25="","",MOD(C25-1,Sorteio!$C$6)+1)</f>
        <v/>
      </c>
      <c r="E25" s="6" t="str">
        <f>IF(A25="","",COUNTIF($D$2:D25,D25))</f>
        <v/>
      </c>
      <c r="F25" s="6" t="str">
        <f>IF(A25="","",D25*100+E25)</f>
        <v/>
      </c>
      <c r="G25" s="1" t="str">
        <f>IF(A25="","",INDEX(Sorteio!$B$11:$B$20,D25))</f>
        <v/>
      </c>
    </row>
    <row r="26" spans="1:7" x14ac:dyDescent="0.25">
      <c r="A26" s="3"/>
      <c r="B26" s="4" t="str">
        <f>IF(A26="","",MOD(ABS(SIN((ROW()+Sorteio!$C$3)*12.9898+Sorteio!$C$3*78.233))*43758.5453,1))</f>
        <v/>
      </c>
      <c r="C26" s="6" t="str">
        <f>IF(A26="","",RANK(B26,$B$2:$B$41,1)+COUNTIF($B$2:B26,B26)-1)</f>
        <v/>
      </c>
      <c r="D26" s="6" t="str">
        <f>IF(A26="","",MOD(C26-1,Sorteio!$C$6)+1)</f>
        <v/>
      </c>
      <c r="E26" s="6" t="str">
        <f>IF(A26="","",COUNTIF($D$2:D26,D26))</f>
        <v/>
      </c>
      <c r="F26" s="6" t="str">
        <f>IF(A26="","",D26*100+E26)</f>
        <v/>
      </c>
      <c r="G26" s="1" t="str">
        <f>IF(A26="","",INDEX(Sorteio!$B$11:$B$20,D26))</f>
        <v/>
      </c>
    </row>
    <row r="27" spans="1:7" x14ac:dyDescent="0.25">
      <c r="A27" s="3"/>
      <c r="B27" s="4" t="str">
        <f>IF(A27="","",MOD(ABS(SIN((ROW()+Sorteio!$C$3)*12.9898+Sorteio!$C$3*78.233))*43758.5453,1))</f>
        <v/>
      </c>
      <c r="C27" s="6" t="str">
        <f>IF(A27="","",RANK(B27,$B$2:$B$41,1)+COUNTIF($B$2:B27,B27)-1)</f>
        <v/>
      </c>
      <c r="D27" s="6" t="str">
        <f>IF(A27="","",MOD(C27-1,Sorteio!$C$6)+1)</f>
        <v/>
      </c>
      <c r="E27" s="6" t="str">
        <f>IF(A27="","",COUNTIF($D$2:D27,D27))</f>
        <v/>
      </c>
      <c r="F27" s="6" t="str">
        <f>IF(A27="","",D27*100+E27)</f>
        <v/>
      </c>
      <c r="G27" s="1" t="str">
        <f>IF(A27="","",INDEX(Sorteio!$B$11:$B$20,D27))</f>
        <v/>
      </c>
    </row>
    <row r="28" spans="1:7" x14ac:dyDescent="0.25">
      <c r="A28" s="3"/>
      <c r="B28" s="4" t="str">
        <f>IF(A28="","",MOD(ABS(SIN((ROW()+Sorteio!$C$3)*12.9898+Sorteio!$C$3*78.233))*43758.5453,1))</f>
        <v/>
      </c>
      <c r="C28" s="6" t="str">
        <f>IF(A28="","",RANK(B28,$B$2:$B$41,1)+COUNTIF($B$2:B28,B28)-1)</f>
        <v/>
      </c>
      <c r="D28" s="6" t="str">
        <f>IF(A28="","",MOD(C28-1,Sorteio!$C$6)+1)</f>
        <v/>
      </c>
      <c r="E28" s="6" t="str">
        <f>IF(A28="","",COUNTIF($D$2:D28,D28))</f>
        <v/>
      </c>
      <c r="F28" s="6" t="str">
        <f>IF(A28="","",D28*100+E28)</f>
        <v/>
      </c>
      <c r="G28" s="1" t="str">
        <f>IF(A28="","",INDEX(Sorteio!$B$11:$B$20,D28))</f>
        <v/>
      </c>
    </row>
    <row r="29" spans="1:7" x14ac:dyDescent="0.25">
      <c r="A29" s="3"/>
      <c r="B29" s="4" t="str">
        <f>IF(A29="","",MOD(ABS(SIN((ROW()+Sorteio!$C$3)*12.9898+Sorteio!$C$3*78.233))*43758.5453,1))</f>
        <v/>
      </c>
      <c r="C29" s="6" t="str">
        <f>IF(A29="","",RANK(B29,$B$2:$B$41,1)+COUNTIF($B$2:B29,B29)-1)</f>
        <v/>
      </c>
      <c r="D29" s="6" t="str">
        <f>IF(A29="","",MOD(C29-1,Sorteio!$C$6)+1)</f>
        <v/>
      </c>
      <c r="E29" s="6" t="str">
        <f>IF(A29="","",COUNTIF($D$2:D29,D29))</f>
        <v/>
      </c>
      <c r="F29" s="6" t="str">
        <f>IF(A29="","",D29*100+E29)</f>
        <v/>
      </c>
      <c r="G29" s="1" t="str">
        <f>IF(A29="","",INDEX(Sorteio!$B$11:$B$20,D29))</f>
        <v/>
      </c>
    </row>
    <row r="30" spans="1:7" x14ac:dyDescent="0.25">
      <c r="A30" s="3"/>
      <c r="B30" s="4" t="str">
        <f>IF(A30="","",MOD(ABS(SIN((ROW()+Sorteio!$C$3)*12.9898+Sorteio!$C$3*78.233))*43758.5453,1))</f>
        <v/>
      </c>
      <c r="C30" s="6" t="str">
        <f>IF(A30="","",RANK(B30,$B$2:$B$41,1)+COUNTIF($B$2:B30,B30)-1)</f>
        <v/>
      </c>
      <c r="D30" s="6" t="str">
        <f>IF(A30="","",MOD(C30-1,Sorteio!$C$6)+1)</f>
        <v/>
      </c>
      <c r="E30" s="6" t="str">
        <f>IF(A30="","",COUNTIF($D$2:D30,D30))</f>
        <v/>
      </c>
      <c r="F30" s="6" t="str">
        <f>IF(A30="","",D30*100+E30)</f>
        <v/>
      </c>
      <c r="G30" s="1" t="str">
        <f>IF(A30="","",INDEX(Sorteio!$B$11:$B$20,D30))</f>
        <v/>
      </c>
    </row>
    <row r="31" spans="1:7" x14ac:dyDescent="0.25">
      <c r="A31" s="3"/>
      <c r="B31" s="4" t="str">
        <f>IF(A31="","",MOD(ABS(SIN((ROW()+Sorteio!$C$3)*12.9898+Sorteio!$C$3*78.233))*43758.5453,1))</f>
        <v/>
      </c>
      <c r="C31" s="6" t="str">
        <f>IF(A31="","",RANK(B31,$B$2:$B$41,1)+COUNTIF($B$2:B31,B31)-1)</f>
        <v/>
      </c>
      <c r="D31" s="6" t="str">
        <f>IF(A31="","",MOD(C31-1,Sorteio!$C$6)+1)</f>
        <v/>
      </c>
      <c r="E31" s="6" t="str">
        <f>IF(A31="","",COUNTIF($D$2:D31,D31))</f>
        <v/>
      </c>
      <c r="F31" s="6" t="str">
        <f>IF(A31="","",D31*100+E31)</f>
        <v/>
      </c>
      <c r="G31" s="1" t="str">
        <f>IF(A31="","",INDEX(Sorteio!$B$11:$B$20,D31))</f>
        <v/>
      </c>
    </row>
    <row r="32" spans="1:7" x14ac:dyDescent="0.25">
      <c r="A32" s="3"/>
      <c r="B32" s="4" t="str">
        <f>IF(A32="","",MOD(ABS(SIN((ROW()+Sorteio!$C$3)*12.9898+Sorteio!$C$3*78.233))*43758.5453,1))</f>
        <v/>
      </c>
      <c r="C32" s="6" t="str">
        <f>IF(A32="","",RANK(B32,$B$2:$B$41,1)+COUNTIF($B$2:B32,B32)-1)</f>
        <v/>
      </c>
      <c r="D32" s="6" t="str">
        <f>IF(A32="","",MOD(C32-1,Sorteio!$C$6)+1)</f>
        <v/>
      </c>
      <c r="E32" s="6" t="str">
        <f>IF(A32="","",COUNTIF($D$2:D32,D32))</f>
        <v/>
      </c>
      <c r="F32" s="6" t="str">
        <f>IF(A32="","",D32*100+E32)</f>
        <v/>
      </c>
      <c r="G32" s="1" t="str">
        <f>IF(A32="","",INDEX(Sorteio!$B$11:$B$20,D32))</f>
        <v/>
      </c>
    </row>
    <row r="33" spans="1:7" x14ac:dyDescent="0.25">
      <c r="A33" s="3"/>
      <c r="B33" s="4" t="str">
        <f>IF(A33="","",MOD(ABS(SIN((ROW()+Sorteio!$C$3)*12.9898+Sorteio!$C$3*78.233))*43758.5453,1))</f>
        <v/>
      </c>
      <c r="C33" s="6" t="str">
        <f>IF(A33="","",RANK(B33,$B$2:$B$41,1)+COUNTIF($B$2:B33,B33)-1)</f>
        <v/>
      </c>
      <c r="D33" s="6" t="str">
        <f>IF(A33="","",MOD(C33-1,Sorteio!$C$6)+1)</f>
        <v/>
      </c>
      <c r="E33" s="6" t="str">
        <f>IF(A33="","",COUNTIF($D$2:D33,D33))</f>
        <v/>
      </c>
      <c r="F33" s="6" t="str">
        <f>IF(A33="","",D33*100+E33)</f>
        <v/>
      </c>
      <c r="G33" s="1" t="str">
        <f>IF(A33="","",INDEX(Sorteio!$B$11:$B$20,D33))</f>
        <v/>
      </c>
    </row>
    <row r="34" spans="1:7" x14ac:dyDescent="0.25">
      <c r="A34" s="3"/>
      <c r="B34" s="4" t="str">
        <f>IF(A34="","",MOD(ABS(SIN((ROW()+Sorteio!$C$3)*12.9898+Sorteio!$C$3*78.233))*43758.5453,1))</f>
        <v/>
      </c>
      <c r="C34" s="6" t="str">
        <f>IF(A34="","",RANK(B34,$B$2:$B$41,1)+COUNTIF($B$2:B34,B34)-1)</f>
        <v/>
      </c>
      <c r="D34" s="6" t="str">
        <f>IF(A34="","",MOD(C34-1,Sorteio!$C$6)+1)</f>
        <v/>
      </c>
      <c r="E34" s="6" t="str">
        <f>IF(A34="","",COUNTIF($D$2:D34,D34))</f>
        <v/>
      </c>
      <c r="F34" s="6" t="str">
        <f>IF(A34="","",D34*100+E34)</f>
        <v/>
      </c>
      <c r="G34" s="1" t="str">
        <f>IF(A34="","",INDEX(Sorteio!$B$11:$B$20,D34))</f>
        <v/>
      </c>
    </row>
    <row r="35" spans="1:7" x14ac:dyDescent="0.25">
      <c r="A35" s="3"/>
      <c r="B35" s="4" t="str">
        <f>IF(A35="","",MOD(ABS(SIN((ROW()+Sorteio!$C$3)*12.9898+Sorteio!$C$3*78.233))*43758.5453,1))</f>
        <v/>
      </c>
      <c r="C35" s="6" t="str">
        <f>IF(A35="","",RANK(B35,$B$2:$B$41,1)+COUNTIF($B$2:B35,B35)-1)</f>
        <v/>
      </c>
      <c r="D35" s="6" t="str">
        <f>IF(A35="","",MOD(C35-1,Sorteio!$C$6)+1)</f>
        <v/>
      </c>
      <c r="E35" s="6" t="str">
        <f>IF(A35="","",COUNTIF($D$2:D35,D35))</f>
        <v/>
      </c>
      <c r="F35" s="6" t="str">
        <f>IF(A35="","",D35*100+E35)</f>
        <v/>
      </c>
      <c r="G35" s="1" t="str">
        <f>IF(A35="","",INDEX(Sorteio!$B$11:$B$20,D35))</f>
        <v/>
      </c>
    </row>
    <row r="36" spans="1:7" x14ac:dyDescent="0.25">
      <c r="A36" s="3"/>
      <c r="B36" s="4" t="str">
        <f>IF(A36="","",MOD(ABS(SIN((ROW()+Sorteio!$C$3)*12.9898+Sorteio!$C$3*78.233))*43758.5453,1))</f>
        <v/>
      </c>
      <c r="C36" s="6" t="str">
        <f>IF(A36="","",RANK(B36,$B$2:$B$41,1)+COUNTIF($B$2:B36,B36)-1)</f>
        <v/>
      </c>
      <c r="D36" s="6" t="str">
        <f>IF(A36="","",MOD(C36-1,Sorteio!$C$6)+1)</f>
        <v/>
      </c>
      <c r="E36" s="6" t="str">
        <f>IF(A36="","",COUNTIF($D$2:D36,D36))</f>
        <v/>
      </c>
      <c r="F36" s="6" t="str">
        <f>IF(A36="","",D36*100+E36)</f>
        <v/>
      </c>
      <c r="G36" s="1" t="str">
        <f>IF(A36="","",INDEX(Sorteio!$B$11:$B$20,D36))</f>
        <v/>
      </c>
    </row>
    <row r="37" spans="1:7" x14ac:dyDescent="0.25">
      <c r="A37" s="3"/>
      <c r="B37" s="4" t="str">
        <f>IF(A37="","",MOD(ABS(SIN((ROW()+Sorteio!$C$3)*12.9898+Sorteio!$C$3*78.233))*43758.5453,1))</f>
        <v/>
      </c>
      <c r="C37" s="6" t="str">
        <f>IF(A37="","",RANK(B37,$B$2:$B$41,1)+COUNTIF($B$2:B37,B37)-1)</f>
        <v/>
      </c>
      <c r="D37" s="6" t="str">
        <f>IF(A37="","",MOD(C37-1,Sorteio!$C$6)+1)</f>
        <v/>
      </c>
      <c r="E37" s="6" t="str">
        <f>IF(A37="","",COUNTIF($D$2:D37,D37))</f>
        <v/>
      </c>
      <c r="F37" s="6" t="str">
        <f>IF(A37="","",D37*100+E37)</f>
        <v/>
      </c>
      <c r="G37" s="1" t="str">
        <f>IF(A37="","",INDEX(Sorteio!$B$11:$B$20,D37))</f>
        <v/>
      </c>
    </row>
    <row r="38" spans="1:7" x14ac:dyDescent="0.25">
      <c r="A38" s="3"/>
      <c r="B38" s="4" t="str">
        <f>IF(A38="","",MOD(ABS(SIN((ROW()+Sorteio!$C$3)*12.9898+Sorteio!$C$3*78.233))*43758.5453,1))</f>
        <v/>
      </c>
      <c r="C38" s="6" t="str">
        <f>IF(A38="","",RANK(B38,$B$2:$B$41,1)+COUNTIF($B$2:B38,B38)-1)</f>
        <v/>
      </c>
      <c r="D38" s="6" t="str">
        <f>IF(A38="","",MOD(C38-1,Sorteio!$C$6)+1)</f>
        <v/>
      </c>
      <c r="E38" s="6" t="str">
        <f>IF(A38="","",COUNTIF($D$2:D38,D38))</f>
        <v/>
      </c>
      <c r="F38" s="6" t="str">
        <f>IF(A38="","",D38*100+E38)</f>
        <v/>
      </c>
      <c r="G38" s="1" t="str">
        <f>IF(A38="","",INDEX(Sorteio!$B$11:$B$20,D38))</f>
        <v/>
      </c>
    </row>
    <row r="39" spans="1:7" x14ac:dyDescent="0.25">
      <c r="A39" s="3"/>
      <c r="B39" s="4" t="str">
        <f>IF(A39="","",MOD(ABS(SIN((ROW()+Sorteio!$C$3)*12.9898+Sorteio!$C$3*78.233))*43758.5453,1))</f>
        <v/>
      </c>
      <c r="C39" s="6" t="str">
        <f>IF(A39="","",RANK(B39,$B$2:$B$41,1)+COUNTIF($B$2:B39,B39)-1)</f>
        <v/>
      </c>
      <c r="D39" s="6" t="str">
        <f>IF(A39="","",MOD(C39-1,Sorteio!$C$6)+1)</f>
        <v/>
      </c>
      <c r="E39" s="6" t="str">
        <f>IF(A39="","",COUNTIF($D$2:D39,D39))</f>
        <v/>
      </c>
      <c r="F39" s="6" t="str">
        <f>IF(A39="","",D39*100+E39)</f>
        <v/>
      </c>
      <c r="G39" s="1" t="str">
        <f>IF(A39="","",INDEX(Sorteio!$B$11:$B$20,D39))</f>
        <v/>
      </c>
    </row>
    <row r="40" spans="1:7" x14ac:dyDescent="0.25">
      <c r="A40" s="3"/>
      <c r="B40" s="4" t="str">
        <f>IF(A40="","",MOD(ABS(SIN((ROW()+Sorteio!$C$3)*12.9898+Sorteio!$C$3*78.233))*43758.5453,1))</f>
        <v/>
      </c>
      <c r="C40" s="6" t="str">
        <f>IF(A40="","",RANK(B40,$B$2:$B$41,1)+COUNTIF($B$2:B40,B40)-1)</f>
        <v/>
      </c>
      <c r="D40" s="6" t="str">
        <f>IF(A40="","",MOD(C40-1,Sorteio!$C$6)+1)</f>
        <v/>
      </c>
      <c r="E40" s="6" t="str">
        <f>IF(A40="","",COUNTIF($D$2:D40,D40))</f>
        <v/>
      </c>
      <c r="F40" s="6" t="str">
        <f>IF(A40="","",D40*100+E40)</f>
        <v/>
      </c>
      <c r="G40" s="1" t="str">
        <f>IF(A40="","",INDEX(Sorteio!$B$11:$B$20,D40))</f>
        <v/>
      </c>
    </row>
    <row r="41" spans="1:7" x14ac:dyDescent="0.25">
      <c r="A41" s="3"/>
      <c r="B41" s="4" t="str">
        <f>IF(A41="","",MOD(ABS(SIN((ROW()+Sorteio!$C$3)*12.9898+Sorteio!$C$3*78.233))*43758.5453,1))</f>
        <v/>
      </c>
      <c r="C41" s="6" t="str">
        <f>IF(A41="","",RANK(B41,$B$2:$B$41,1)+COUNTIF($B$2:B41,B41)-1)</f>
        <v/>
      </c>
      <c r="D41" s="6" t="str">
        <f>IF(A41="","",MOD(C41-1,Sorteio!$C$6)+1)</f>
        <v/>
      </c>
      <c r="E41" s="6" t="str">
        <f>IF(A41="","",COUNTIF($D$2:D41,D41))</f>
        <v/>
      </c>
      <c r="F41" s="6" t="str">
        <f>IF(A41="","",D41*100+E41)</f>
        <v/>
      </c>
      <c r="G41" s="1" t="str">
        <f>IF(A41="","",INDEX(Sorteio!$B$11:$B$20,D41))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4063-07EF-4F14-9ECB-86C7E35B0EB2}">
  <sheetPr>
    <pageSetUpPr fitToPage="1"/>
  </sheetPr>
  <dimension ref="A1:I22"/>
  <sheetViews>
    <sheetView tabSelected="1" workbookViewId="0">
      <selection activeCell="C3" sqref="C3"/>
    </sheetView>
  </sheetViews>
  <sheetFormatPr defaultRowHeight="15.75" x14ac:dyDescent="0.25"/>
  <cols>
    <col min="1" max="1" width="8.7109375" style="1" customWidth="1"/>
    <col min="2" max="2" width="34.7109375" style="1" customWidth="1"/>
    <col min="3" max="7" width="22.7109375" style="1" customWidth="1"/>
    <col min="8" max="8" width="9.7109375" style="1" customWidth="1"/>
    <col min="9" max="9" width="13.7109375" style="1" customWidth="1"/>
    <col min="10" max="16384" width="9.140625" style="1"/>
  </cols>
  <sheetData>
    <row r="1" spans="1:9" ht="26.25" x14ac:dyDescent="0.4">
      <c r="A1" s="7" t="s">
        <v>21</v>
      </c>
    </row>
    <row r="3" spans="1:9" x14ac:dyDescent="0.25">
      <c r="B3" s="15" t="s">
        <v>22</v>
      </c>
      <c r="C3" s="8">
        <v>17</v>
      </c>
    </row>
    <row r="4" spans="1:9" x14ac:dyDescent="0.25">
      <c r="B4" s="15" t="s">
        <v>23</v>
      </c>
      <c r="C4" s="8">
        <v>29</v>
      </c>
    </row>
    <row r="5" spans="1:9" x14ac:dyDescent="0.25">
      <c r="B5" s="15" t="s">
        <v>24</v>
      </c>
      <c r="C5" s="9">
        <f>COUNTA(Alunos!A2:A41)</f>
        <v>0</v>
      </c>
    </row>
    <row r="6" spans="1:9" x14ac:dyDescent="0.25">
      <c r="B6" s="15" t="s">
        <v>25</v>
      </c>
      <c r="C6" s="9">
        <f>MAX(1,ROUNDUP(C5/4,0))</f>
        <v>1</v>
      </c>
    </row>
    <row r="7" spans="1:9" x14ac:dyDescent="0.25">
      <c r="B7" s="15" t="s">
        <v>26</v>
      </c>
      <c r="C7" s="9" t="str">
        <f>IF(C5&gt;40,"Mais de 40 alunos: o limite é 10 grupos de 4",IF(C5=0,"Digite os nomes na aba Alunos","OK"))</f>
        <v>Digite os nomes na aba Alunos</v>
      </c>
    </row>
    <row r="8" spans="1:9" x14ac:dyDescent="0.25">
      <c r="A8" s="5" t="s">
        <v>27</v>
      </c>
    </row>
    <row r="10" spans="1:9" ht="21.95" customHeight="1" x14ac:dyDescent="0.25">
      <c r="A10" s="10" t="s">
        <v>16</v>
      </c>
      <c r="B10" s="10" t="s">
        <v>1</v>
      </c>
      <c r="C10" s="10" t="s">
        <v>28</v>
      </c>
      <c r="D10" s="10" t="s">
        <v>29</v>
      </c>
      <c r="E10" s="10" t="s">
        <v>30</v>
      </c>
      <c r="F10" s="10" t="s">
        <v>31</v>
      </c>
      <c r="G10" s="10" t="s">
        <v>32</v>
      </c>
      <c r="H10" s="10" t="s">
        <v>33</v>
      </c>
      <c r="I10" s="10" t="s">
        <v>34</v>
      </c>
    </row>
    <row r="11" spans="1:9" x14ac:dyDescent="0.25">
      <c r="A11" s="13">
        <v>1</v>
      </c>
      <c r="B11" s="14" t="str">
        <f>IF(A11&gt;$C$6,"",INDEX(Temas!$B$2:$B$11,MATCH(A11,Temas!$D$2:$D$11,0)))</f>
        <v>Cinema</v>
      </c>
      <c r="C11" s="11" t="str">
        <f>IF($A11&gt;$C$6,"",IFERROR(INDEX(Alunos!$A$2:$A$41,MATCH($A11*100+1,Alunos!$F$2:$F$41,0)),""))</f>
        <v/>
      </c>
      <c r="D11" s="11" t="str">
        <f>IF($A11&gt;$C$6,"",IFERROR(INDEX(Alunos!$A$2:$A$41,MATCH($A11*100+2,Alunos!$F$2:$F$41,0)),""))</f>
        <v/>
      </c>
      <c r="E11" s="11" t="str">
        <f>IF($A11&gt;$C$6,"",IFERROR(INDEX(Alunos!$A$2:$A$41,MATCH($A11*100+3,Alunos!$F$2:$F$41,0)),""))</f>
        <v/>
      </c>
      <c r="F11" s="11" t="str">
        <f>IF($A11&gt;$C$6,"",IFERROR(INDEX(Alunos!$A$2:$A$41,MATCH($A11*100+4,Alunos!$F$2:$F$41,0)),""))</f>
        <v/>
      </c>
      <c r="G11" s="11" t="str">
        <f>IF($A11&gt;$C$6,"",IFERROR(INDEX(Alunos!$A$2:$A$41,MATCH($A11*100+5,Alunos!$F$2:$F$41,0)),""))</f>
        <v/>
      </c>
      <c r="H11" s="12">
        <f>IF(A11&gt;$C$6,"",COUNTIF(Alunos!$D$2:$D$41,A11))</f>
        <v>0</v>
      </c>
      <c r="I11" s="12">
        <f>IF(A11&gt;$C$6,"",MAX(0,4-H11))</f>
        <v>4</v>
      </c>
    </row>
    <row r="12" spans="1:9" x14ac:dyDescent="0.25">
      <c r="A12" s="13">
        <v>2</v>
      </c>
      <c r="B12" s="14" t="str">
        <f>IF(A12&gt;$C$6,"",INDEX(Temas!$B$2:$B$11,MATCH(A12,Temas!$D$2:$D$11,0)))</f>
        <v/>
      </c>
      <c r="C12" s="11" t="str">
        <f>IF($A12&gt;$C$6,"",IFERROR(INDEX(Alunos!$A$2:$A$41,MATCH($A12*100+1,Alunos!$F$2:$F$41,0)),""))</f>
        <v/>
      </c>
      <c r="D12" s="11" t="str">
        <f>IF($A12&gt;$C$6,"",IFERROR(INDEX(Alunos!$A$2:$A$41,MATCH($A12*100+2,Alunos!$F$2:$F$41,0)),""))</f>
        <v/>
      </c>
      <c r="E12" s="11" t="str">
        <f>IF($A12&gt;$C$6,"",IFERROR(INDEX(Alunos!$A$2:$A$41,MATCH($A12*100+3,Alunos!$F$2:$F$41,0)),""))</f>
        <v/>
      </c>
      <c r="F12" s="11" t="str">
        <f>IF($A12&gt;$C$6,"",IFERROR(INDEX(Alunos!$A$2:$A$41,MATCH($A12*100+4,Alunos!$F$2:$F$41,0)),""))</f>
        <v/>
      </c>
      <c r="G12" s="11" t="str">
        <f>IF($A12&gt;$C$6,"",IFERROR(INDEX(Alunos!$A$2:$A$41,MATCH($A12*100+5,Alunos!$F$2:$F$41,0)),""))</f>
        <v/>
      </c>
      <c r="H12" s="12" t="str">
        <f>IF(A12&gt;$C$6,"",COUNTIF(Alunos!$D$2:$D$41,A12))</f>
        <v/>
      </c>
      <c r="I12" s="12" t="str">
        <f>IF(A12&gt;$C$6,"",MAX(0,4-H12))</f>
        <v/>
      </c>
    </row>
    <row r="13" spans="1:9" x14ac:dyDescent="0.25">
      <c r="A13" s="13">
        <v>3</v>
      </c>
      <c r="B13" s="14" t="str">
        <f>IF(A13&gt;$C$6,"",INDEX(Temas!$B$2:$B$11,MATCH(A13,Temas!$D$2:$D$11,0)))</f>
        <v/>
      </c>
      <c r="C13" s="11" t="str">
        <f>IF($A13&gt;$C$6,"",IFERROR(INDEX(Alunos!$A$2:$A$41,MATCH($A13*100+1,Alunos!$F$2:$F$41,0)),""))</f>
        <v/>
      </c>
      <c r="D13" s="11" t="str">
        <f>IF($A13&gt;$C$6,"",IFERROR(INDEX(Alunos!$A$2:$A$41,MATCH($A13*100+2,Alunos!$F$2:$F$41,0)),""))</f>
        <v/>
      </c>
      <c r="E13" s="11" t="str">
        <f>IF($A13&gt;$C$6,"",IFERROR(INDEX(Alunos!$A$2:$A$41,MATCH($A13*100+3,Alunos!$F$2:$F$41,0)),""))</f>
        <v/>
      </c>
      <c r="F13" s="11" t="str">
        <f>IF($A13&gt;$C$6,"",IFERROR(INDEX(Alunos!$A$2:$A$41,MATCH($A13*100+4,Alunos!$F$2:$F$41,0)),""))</f>
        <v/>
      </c>
      <c r="G13" s="11" t="str">
        <f>IF($A13&gt;$C$6,"",IFERROR(INDEX(Alunos!$A$2:$A$41,MATCH($A13*100+5,Alunos!$F$2:$F$41,0)),""))</f>
        <v/>
      </c>
      <c r="H13" s="12" t="str">
        <f>IF(A13&gt;$C$6,"",COUNTIF(Alunos!$D$2:$D$41,A13))</f>
        <v/>
      </c>
      <c r="I13" s="12" t="str">
        <f>IF(A13&gt;$C$6,"",MAX(0,4-H13))</f>
        <v/>
      </c>
    </row>
    <row r="14" spans="1:9" x14ac:dyDescent="0.25">
      <c r="A14" s="13">
        <v>4</v>
      </c>
      <c r="B14" s="14" t="str">
        <f>IF(A14&gt;$C$6,"",INDEX(Temas!$B$2:$B$11,MATCH(A14,Temas!$D$2:$D$11,0)))</f>
        <v/>
      </c>
      <c r="C14" s="11" t="str">
        <f>IF($A14&gt;$C$6,"",IFERROR(INDEX(Alunos!$A$2:$A$41,MATCH($A14*100+1,Alunos!$F$2:$F$41,0)),""))</f>
        <v/>
      </c>
      <c r="D14" s="11" t="str">
        <f>IF($A14&gt;$C$6,"",IFERROR(INDEX(Alunos!$A$2:$A$41,MATCH($A14*100+2,Alunos!$F$2:$F$41,0)),""))</f>
        <v/>
      </c>
      <c r="E14" s="11" t="str">
        <f>IF($A14&gt;$C$6,"",IFERROR(INDEX(Alunos!$A$2:$A$41,MATCH($A14*100+3,Alunos!$F$2:$F$41,0)),""))</f>
        <v/>
      </c>
      <c r="F14" s="11" t="str">
        <f>IF($A14&gt;$C$6,"",IFERROR(INDEX(Alunos!$A$2:$A$41,MATCH($A14*100+4,Alunos!$F$2:$F$41,0)),""))</f>
        <v/>
      </c>
      <c r="G14" s="11" t="str">
        <f>IF($A14&gt;$C$6,"",IFERROR(INDEX(Alunos!$A$2:$A$41,MATCH($A14*100+5,Alunos!$F$2:$F$41,0)),""))</f>
        <v/>
      </c>
      <c r="H14" s="12" t="str">
        <f>IF(A14&gt;$C$6,"",COUNTIF(Alunos!$D$2:$D$41,A14))</f>
        <v/>
      </c>
      <c r="I14" s="12" t="str">
        <f>IF(A14&gt;$C$6,"",MAX(0,4-H14))</f>
        <v/>
      </c>
    </row>
    <row r="15" spans="1:9" x14ac:dyDescent="0.25">
      <c r="A15" s="13">
        <v>5</v>
      </c>
      <c r="B15" s="14" t="str">
        <f>IF(A15&gt;$C$6,"",INDEX(Temas!$B$2:$B$11,MATCH(A15,Temas!$D$2:$D$11,0)))</f>
        <v/>
      </c>
      <c r="C15" s="11" t="str">
        <f>IF($A15&gt;$C$6,"",IFERROR(INDEX(Alunos!$A$2:$A$41,MATCH($A15*100+1,Alunos!$F$2:$F$41,0)),""))</f>
        <v/>
      </c>
      <c r="D15" s="11" t="str">
        <f>IF($A15&gt;$C$6,"",IFERROR(INDEX(Alunos!$A$2:$A$41,MATCH($A15*100+2,Alunos!$F$2:$F$41,0)),""))</f>
        <v/>
      </c>
      <c r="E15" s="11" t="str">
        <f>IF($A15&gt;$C$6,"",IFERROR(INDEX(Alunos!$A$2:$A$41,MATCH($A15*100+3,Alunos!$F$2:$F$41,0)),""))</f>
        <v/>
      </c>
      <c r="F15" s="11" t="str">
        <f>IF($A15&gt;$C$6,"",IFERROR(INDEX(Alunos!$A$2:$A$41,MATCH($A15*100+4,Alunos!$F$2:$F$41,0)),""))</f>
        <v/>
      </c>
      <c r="G15" s="11" t="str">
        <f>IF($A15&gt;$C$6,"",IFERROR(INDEX(Alunos!$A$2:$A$41,MATCH($A15*100+5,Alunos!$F$2:$F$41,0)),""))</f>
        <v/>
      </c>
      <c r="H15" s="12" t="str">
        <f>IF(A15&gt;$C$6,"",COUNTIF(Alunos!$D$2:$D$41,A15))</f>
        <v/>
      </c>
      <c r="I15" s="12" t="str">
        <f>IF(A15&gt;$C$6,"",MAX(0,4-H15))</f>
        <v/>
      </c>
    </row>
    <row r="16" spans="1:9" x14ac:dyDescent="0.25">
      <c r="A16" s="13">
        <v>6</v>
      </c>
      <c r="B16" s="14" t="str">
        <f>IF(A16&gt;$C$6,"",INDEX(Temas!$B$2:$B$11,MATCH(A16,Temas!$D$2:$D$11,0)))</f>
        <v/>
      </c>
      <c r="C16" s="11" t="str">
        <f>IF($A16&gt;$C$6,"",IFERROR(INDEX(Alunos!$A$2:$A$41,MATCH($A16*100+1,Alunos!$F$2:$F$41,0)),""))</f>
        <v/>
      </c>
      <c r="D16" s="11" t="str">
        <f>IF($A16&gt;$C$6,"",IFERROR(INDEX(Alunos!$A$2:$A$41,MATCH($A16*100+2,Alunos!$F$2:$F$41,0)),""))</f>
        <v/>
      </c>
      <c r="E16" s="11" t="str">
        <f>IF($A16&gt;$C$6,"",IFERROR(INDEX(Alunos!$A$2:$A$41,MATCH($A16*100+3,Alunos!$F$2:$F$41,0)),""))</f>
        <v/>
      </c>
      <c r="F16" s="11" t="str">
        <f>IF($A16&gt;$C$6,"",IFERROR(INDEX(Alunos!$A$2:$A$41,MATCH($A16*100+4,Alunos!$F$2:$F$41,0)),""))</f>
        <v/>
      </c>
      <c r="G16" s="11" t="str">
        <f>IF($A16&gt;$C$6,"",IFERROR(INDEX(Alunos!$A$2:$A$41,MATCH($A16*100+5,Alunos!$F$2:$F$41,0)),""))</f>
        <v/>
      </c>
      <c r="H16" s="12" t="str">
        <f>IF(A16&gt;$C$6,"",COUNTIF(Alunos!$D$2:$D$41,A16))</f>
        <v/>
      </c>
      <c r="I16" s="12" t="str">
        <f>IF(A16&gt;$C$6,"",MAX(0,4-H16))</f>
        <v/>
      </c>
    </row>
    <row r="17" spans="1:9" x14ac:dyDescent="0.25">
      <c r="A17" s="13">
        <v>7</v>
      </c>
      <c r="B17" s="14" t="str">
        <f>IF(A17&gt;$C$6,"",INDEX(Temas!$B$2:$B$11,MATCH(A17,Temas!$D$2:$D$11,0)))</f>
        <v/>
      </c>
      <c r="C17" s="11" t="str">
        <f>IF($A17&gt;$C$6,"",IFERROR(INDEX(Alunos!$A$2:$A$41,MATCH($A17*100+1,Alunos!$F$2:$F$41,0)),""))</f>
        <v/>
      </c>
      <c r="D17" s="11" t="str">
        <f>IF($A17&gt;$C$6,"",IFERROR(INDEX(Alunos!$A$2:$A$41,MATCH($A17*100+2,Alunos!$F$2:$F$41,0)),""))</f>
        <v/>
      </c>
      <c r="E17" s="11" t="str">
        <f>IF($A17&gt;$C$6,"",IFERROR(INDEX(Alunos!$A$2:$A$41,MATCH($A17*100+3,Alunos!$F$2:$F$41,0)),""))</f>
        <v/>
      </c>
      <c r="F17" s="11" t="str">
        <f>IF($A17&gt;$C$6,"",IFERROR(INDEX(Alunos!$A$2:$A$41,MATCH($A17*100+4,Alunos!$F$2:$F$41,0)),""))</f>
        <v/>
      </c>
      <c r="G17" s="11" t="str">
        <f>IF($A17&gt;$C$6,"",IFERROR(INDEX(Alunos!$A$2:$A$41,MATCH($A17*100+5,Alunos!$F$2:$F$41,0)),""))</f>
        <v/>
      </c>
      <c r="H17" s="12" t="str">
        <f>IF(A17&gt;$C$6,"",COUNTIF(Alunos!$D$2:$D$41,A17))</f>
        <v/>
      </c>
      <c r="I17" s="12" t="str">
        <f>IF(A17&gt;$C$6,"",MAX(0,4-H17))</f>
        <v/>
      </c>
    </row>
    <row r="18" spans="1:9" x14ac:dyDescent="0.25">
      <c r="A18" s="13">
        <v>8</v>
      </c>
      <c r="B18" s="14" t="str">
        <f>IF(A18&gt;$C$6,"",INDEX(Temas!$B$2:$B$11,MATCH(A18,Temas!$D$2:$D$11,0)))</f>
        <v/>
      </c>
      <c r="C18" s="11" t="str">
        <f>IF($A18&gt;$C$6,"",IFERROR(INDEX(Alunos!$A$2:$A$41,MATCH($A18*100+1,Alunos!$F$2:$F$41,0)),""))</f>
        <v/>
      </c>
      <c r="D18" s="11" t="str">
        <f>IF($A18&gt;$C$6,"",IFERROR(INDEX(Alunos!$A$2:$A$41,MATCH($A18*100+2,Alunos!$F$2:$F$41,0)),""))</f>
        <v/>
      </c>
      <c r="E18" s="11" t="str">
        <f>IF($A18&gt;$C$6,"",IFERROR(INDEX(Alunos!$A$2:$A$41,MATCH($A18*100+3,Alunos!$F$2:$F$41,0)),""))</f>
        <v/>
      </c>
      <c r="F18" s="11" t="str">
        <f>IF($A18&gt;$C$6,"",IFERROR(INDEX(Alunos!$A$2:$A$41,MATCH($A18*100+4,Alunos!$F$2:$F$41,0)),""))</f>
        <v/>
      </c>
      <c r="G18" s="11" t="str">
        <f>IF($A18&gt;$C$6,"",IFERROR(INDEX(Alunos!$A$2:$A$41,MATCH($A18*100+5,Alunos!$F$2:$F$41,0)),""))</f>
        <v/>
      </c>
      <c r="H18" s="12" t="str">
        <f>IF(A18&gt;$C$6,"",COUNTIF(Alunos!$D$2:$D$41,A18))</f>
        <v/>
      </c>
      <c r="I18" s="12" t="str">
        <f>IF(A18&gt;$C$6,"",MAX(0,4-H18))</f>
        <v/>
      </c>
    </row>
    <row r="19" spans="1:9" x14ac:dyDescent="0.25">
      <c r="A19" s="13">
        <v>9</v>
      </c>
      <c r="B19" s="14" t="str">
        <f>IF(A19&gt;$C$6,"",INDEX(Temas!$B$2:$B$11,MATCH(A19,Temas!$D$2:$D$11,0)))</f>
        <v/>
      </c>
      <c r="C19" s="11" t="str">
        <f>IF($A19&gt;$C$6,"",IFERROR(INDEX(Alunos!$A$2:$A$41,MATCH($A19*100+1,Alunos!$F$2:$F$41,0)),""))</f>
        <v/>
      </c>
      <c r="D19" s="11" t="str">
        <f>IF($A19&gt;$C$6,"",IFERROR(INDEX(Alunos!$A$2:$A$41,MATCH($A19*100+2,Alunos!$F$2:$F$41,0)),""))</f>
        <v/>
      </c>
      <c r="E19" s="11" t="str">
        <f>IF($A19&gt;$C$6,"",IFERROR(INDEX(Alunos!$A$2:$A$41,MATCH($A19*100+3,Alunos!$F$2:$F$41,0)),""))</f>
        <v/>
      </c>
      <c r="F19" s="11" t="str">
        <f>IF($A19&gt;$C$6,"",IFERROR(INDEX(Alunos!$A$2:$A$41,MATCH($A19*100+4,Alunos!$F$2:$F$41,0)),""))</f>
        <v/>
      </c>
      <c r="G19" s="11" t="str">
        <f>IF($A19&gt;$C$6,"",IFERROR(INDEX(Alunos!$A$2:$A$41,MATCH($A19*100+5,Alunos!$F$2:$F$41,0)),""))</f>
        <v/>
      </c>
      <c r="H19" s="12" t="str">
        <f>IF(A19&gt;$C$6,"",COUNTIF(Alunos!$D$2:$D$41,A19))</f>
        <v/>
      </c>
      <c r="I19" s="12" t="str">
        <f>IF(A19&gt;$C$6,"",MAX(0,4-H19))</f>
        <v/>
      </c>
    </row>
    <row r="20" spans="1:9" x14ac:dyDescent="0.25">
      <c r="A20" s="13">
        <v>10</v>
      </c>
      <c r="B20" s="14" t="str">
        <f>IF(A20&gt;$C$6,"",INDEX(Temas!$B$2:$B$11,MATCH(A20,Temas!$D$2:$D$11,0)))</f>
        <v/>
      </c>
      <c r="C20" s="11" t="str">
        <f>IF($A20&gt;$C$6,"",IFERROR(INDEX(Alunos!$A$2:$A$41,MATCH($A20*100+1,Alunos!$F$2:$F$41,0)),""))</f>
        <v/>
      </c>
      <c r="D20" s="11" t="str">
        <f>IF($A20&gt;$C$6,"",IFERROR(INDEX(Alunos!$A$2:$A$41,MATCH($A20*100+2,Alunos!$F$2:$F$41,0)),""))</f>
        <v/>
      </c>
      <c r="E20" s="11" t="str">
        <f>IF($A20&gt;$C$6,"",IFERROR(INDEX(Alunos!$A$2:$A$41,MATCH($A20*100+3,Alunos!$F$2:$F$41,0)),""))</f>
        <v/>
      </c>
      <c r="F20" s="11" t="str">
        <f>IF($A20&gt;$C$6,"",IFERROR(INDEX(Alunos!$A$2:$A$41,MATCH($A20*100+4,Alunos!$F$2:$F$41,0)),""))</f>
        <v/>
      </c>
      <c r="G20" s="11" t="str">
        <f>IF($A20&gt;$C$6,"",IFERROR(INDEX(Alunos!$A$2:$A$41,MATCH($A20*100+5,Alunos!$F$2:$F$41,0)),""))</f>
        <v/>
      </c>
      <c r="H20" s="12" t="str">
        <f>IF(A20&gt;$C$6,"",COUNTIF(Alunos!$D$2:$D$41,A20))</f>
        <v/>
      </c>
      <c r="I20" s="12" t="str">
        <f>IF(A20&gt;$C$6,"",MAX(0,4-H20))</f>
        <v/>
      </c>
    </row>
    <row r="22" spans="1:9" x14ac:dyDescent="0.25">
      <c r="A22" s="5" t="s">
        <v>35</v>
      </c>
    </row>
  </sheetData>
  <conditionalFormatting sqref="I11:I20">
    <cfRule type="cellIs" dxfId="0" priority="1" stopIfTrue="1" operator="greater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7FD3-7948-496E-8D14-DB94113D3422}">
  <dimension ref="A1:D13"/>
  <sheetViews>
    <sheetView workbookViewId="0"/>
  </sheetViews>
  <sheetFormatPr defaultRowHeight="15.75" x14ac:dyDescent="0.25"/>
  <cols>
    <col min="1" max="1" width="6.7109375" style="1" customWidth="1"/>
    <col min="2" max="2" width="40.7109375" style="1" customWidth="1"/>
    <col min="3" max="3" width="18.7109375" style="1" customWidth="1"/>
    <col min="4" max="4" width="10.7109375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3" t="s">
        <v>4</v>
      </c>
      <c r="C2" s="4">
        <f>MOD(ABS(SIN(A2*12.9898+Sorteio!$C$4*78.233))*43758.5453,1)</f>
        <v>0.45348926420410862</v>
      </c>
      <c r="D2" s="1">
        <f>RANK(C2,$C$2:$C$11,1)+COUNTIF($C$2:C2,C2)-1</f>
        <v>4</v>
      </c>
    </row>
    <row r="3" spans="1:4" x14ac:dyDescent="0.25">
      <c r="A3" s="1">
        <v>2</v>
      </c>
      <c r="B3" s="3" t="s">
        <v>5</v>
      </c>
      <c r="C3" s="4">
        <f>MOD(ABS(SIN(A3*12.9898+Sorteio!$C$4*78.233))*43758.5453,1)</f>
        <v>0.60105112990277121</v>
      </c>
      <c r="D3" s="1">
        <f>RANK(C3,$C$2:$C$11,1)+COUNTIF($C$2:C3,C3)-1</f>
        <v>5</v>
      </c>
    </row>
    <row r="4" spans="1:4" x14ac:dyDescent="0.25">
      <c r="A4" s="1">
        <v>3</v>
      </c>
      <c r="B4" s="3" t="s">
        <v>6</v>
      </c>
      <c r="C4" s="4">
        <f>MOD(ABS(SIN(A4*12.9898+Sorteio!$C$4*78.233))*43758.5453,1)</f>
        <v>0.93693456651089946</v>
      </c>
      <c r="D4" s="1">
        <f>RANK(C4,$C$2:$C$11,1)+COUNTIF($C$2:C4,C4)-1</f>
        <v>9</v>
      </c>
    </row>
    <row r="5" spans="1:4" x14ac:dyDescent="0.25">
      <c r="A5" s="1">
        <v>4</v>
      </c>
      <c r="B5" s="3" t="s">
        <v>7</v>
      </c>
      <c r="C5" s="4">
        <f>MOD(ABS(SIN(A5*12.9898+Sorteio!$C$4*78.233))*43758.5453,1)</f>
        <v>0.79831977748835925</v>
      </c>
      <c r="D5" s="1">
        <f>RANK(C5,$C$2:$C$11,1)+COUNTIF($C$2:C5,C5)-1</f>
        <v>6</v>
      </c>
    </row>
    <row r="6" spans="1:4" x14ac:dyDescent="0.25">
      <c r="A6" s="1">
        <v>5</v>
      </c>
      <c r="B6" s="3" t="s">
        <v>8</v>
      </c>
      <c r="C6" s="4">
        <f>MOD(ABS(SIN(A6*12.9898+Sorteio!$C$4*78.233))*43758.5453,1)</f>
        <v>0.80362549693018082</v>
      </c>
      <c r="D6" s="1">
        <f>RANK(C6,$C$2:$C$11,1)+COUNTIF($C$2:C6,C6)-1</f>
        <v>7</v>
      </c>
    </row>
    <row r="7" spans="1:4" x14ac:dyDescent="0.25">
      <c r="A7" s="1">
        <v>6</v>
      </c>
      <c r="B7" s="3" t="s">
        <v>9</v>
      </c>
      <c r="C7" s="4">
        <f>MOD(ABS(SIN(A7*12.9898+Sorteio!$C$4*78.233))*43758.5453,1)</f>
        <v>0.34770558969239573</v>
      </c>
      <c r="D7" s="1">
        <f>RANK(C7,$C$2:$C$11,1)+COUNTIF($C$2:C7,C7)-1</f>
        <v>3</v>
      </c>
    </row>
    <row r="8" spans="1:4" x14ac:dyDescent="0.25">
      <c r="A8" s="1">
        <v>7</v>
      </c>
      <c r="B8" s="3" t="s">
        <v>10</v>
      </c>
      <c r="C8" s="4">
        <f>MOD(ABS(SIN(A8*12.9898+Sorteio!$C$4*78.233))*43758.5453,1)</f>
        <v>0.85982864784273261</v>
      </c>
      <c r="D8" s="1">
        <f>RANK(C8,$C$2:$C$11,1)+COUNTIF($C$2:C8,C8)-1</f>
        <v>8</v>
      </c>
    </row>
    <row r="9" spans="1:4" x14ac:dyDescent="0.25">
      <c r="A9" s="1">
        <v>8</v>
      </c>
      <c r="B9" s="3" t="s">
        <v>11</v>
      </c>
      <c r="C9" s="4">
        <f>MOD(ABS(SIN(A9*12.9898+Sorteio!$C$4*78.233))*43758.5453,1)</f>
        <v>0.29774329188512638</v>
      </c>
      <c r="D9" s="1">
        <f>RANK(C9,$C$2:$C$11,1)+COUNTIF($C$2:C9,C9)-1</f>
        <v>2</v>
      </c>
    </row>
    <row r="10" spans="1:4" x14ac:dyDescent="0.25">
      <c r="A10" s="1">
        <v>9</v>
      </c>
      <c r="B10" s="3" t="s">
        <v>12</v>
      </c>
      <c r="C10" s="4">
        <f>MOD(ABS(SIN(A10*12.9898+Sorteio!$C$4*78.233))*43758.5453,1)</f>
        <v>0.94263223499729065</v>
      </c>
      <c r="D10" s="1">
        <f>RANK(C10,$C$2:$C$11,1)+COUNTIF($C$2:C10,C10)-1</f>
        <v>10</v>
      </c>
    </row>
    <row r="11" spans="1:4" x14ac:dyDescent="0.25">
      <c r="A11" s="1">
        <v>10</v>
      </c>
      <c r="B11" s="3" t="s">
        <v>13</v>
      </c>
      <c r="C11" s="4">
        <f>MOD(ABS(SIN(A11*12.9898+Sorteio!$C$4*78.233))*43758.5453,1)</f>
        <v>4.4186486920807511E-3</v>
      </c>
      <c r="D11" s="1">
        <f>RANK(C11,$C$2:$C$11,1)+COUNTIF($C$2:C11,C11)-1</f>
        <v>1</v>
      </c>
    </row>
    <row r="13" spans="1:4" x14ac:dyDescent="0.25">
      <c r="A13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Como usar</vt:lpstr>
      <vt:lpstr>Alunos</vt:lpstr>
      <vt:lpstr>Sorteio</vt:lpstr>
      <vt:lpstr>Temas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dos Santos Silva</dc:creator>
  <cp:lastModifiedBy>Douglas dos Santos Silva</cp:lastModifiedBy>
  <dcterms:created xsi:type="dcterms:W3CDTF">2026-10-12T03:10:31Z</dcterms:created>
  <dcterms:modified xsi:type="dcterms:W3CDTF">2026-10-12T03:10:34Z</dcterms:modified>
</cp:coreProperties>
</file>